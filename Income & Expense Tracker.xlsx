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1a924e2dad887f/Documents/"/>
    </mc:Choice>
  </mc:AlternateContent>
  <xr:revisionPtr revIDLastSave="0" documentId="8_{33C0EC09-A668-41E4-8EDF-B237404B77C7}" xr6:coauthVersionLast="47" xr6:coauthVersionMax="47" xr10:uidLastSave="{00000000-0000-0000-0000-000000000000}"/>
  <bookViews>
    <workbookView xWindow="-120" yWindow="-120" windowWidth="20730" windowHeight="11160" xr2:uid="{B8A57845-25E6-4AEB-A105-536F1EE343D9}"/>
  </bookViews>
  <sheets>
    <sheet name="Tracker Sheet" sheetId="1" r:id="rId1"/>
    <sheet name="In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E3" i="1"/>
  <c r="B3" i="1"/>
</calcChain>
</file>

<file path=xl/sharedStrings.xml><?xml version="1.0" encoding="utf-8"?>
<sst xmlns="http://schemas.openxmlformats.org/spreadsheetml/2006/main" count="251" uniqueCount="140">
  <si>
    <t>Total Income</t>
  </si>
  <si>
    <t>Date</t>
  </si>
  <si>
    <t>Type</t>
  </si>
  <si>
    <t>Category</t>
  </si>
  <si>
    <t>Discription</t>
  </si>
  <si>
    <t>Amount</t>
  </si>
  <si>
    <t>Remark</t>
  </si>
  <si>
    <t>Location</t>
  </si>
  <si>
    <t>State</t>
  </si>
  <si>
    <t>PayType</t>
  </si>
  <si>
    <t>Balance</t>
  </si>
  <si>
    <t>Income</t>
  </si>
  <si>
    <t>Expanse</t>
  </si>
  <si>
    <t>Expense</t>
  </si>
  <si>
    <t>Income &amp; Expense Tracker</t>
  </si>
  <si>
    <t>Youtube</t>
  </si>
  <si>
    <t>Instagram</t>
  </si>
  <si>
    <t>Telegram</t>
  </si>
  <si>
    <t>Freelancing</t>
  </si>
  <si>
    <t>Salary</t>
  </si>
  <si>
    <t>Business</t>
  </si>
  <si>
    <t>Marketing</t>
  </si>
  <si>
    <t>Development</t>
  </si>
  <si>
    <t>Tik Tok</t>
  </si>
  <si>
    <t>Mojo</t>
  </si>
  <si>
    <t>Story TV</t>
  </si>
  <si>
    <t>Short Story</t>
  </si>
  <si>
    <t>WhatsApp</t>
  </si>
  <si>
    <t>Flipkart</t>
  </si>
  <si>
    <t>Amazon</t>
  </si>
  <si>
    <t>Farmhouse</t>
  </si>
  <si>
    <t>Facebook</t>
  </si>
  <si>
    <t>Twiter</t>
  </si>
  <si>
    <t>Snapchat</t>
  </si>
  <si>
    <t>Sharechat</t>
  </si>
  <si>
    <t>Food</t>
  </si>
  <si>
    <t>Rent</t>
  </si>
  <si>
    <t>Travel</t>
  </si>
  <si>
    <t>Medical</t>
  </si>
  <si>
    <t>Shoping</t>
  </si>
  <si>
    <t>Lightbill</t>
  </si>
  <si>
    <t>Waterbill</t>
  </si>
  <si>
    <t>Fast Food</t>
  </si>
  <si>
    <t>Credit card</t>
  </si>
  <si>
    <t>Debit card</t>
  </si>
  <si>
    <t>Mobile Recharge</t>
  </si>
  <si>
    <t>Wifi Recharge</t>
  </si>
  <si>
    <t>Bike Fuel</t>
  </si>
  <si>
    <t>Loan</t>
  </si>
  <si>
    <t>Clothing</t>
  </si>
  <si>
    <t>Subscription</t>
  </si>
  <si>
    <t>Groceries</t>
  </si>
  <si>
    <t>Maintenance</t>
  </si>
  <si>
    <t>Party</t>
  </si>
  <si>
    <t>Gifts</t>
  </si>
  <si>
    <t>Vegetable &amp; grocery shopping</t>
  </si>
  <si>
    <t>Fever consultation &amp; medicines</t>
  </si>
  <si>
    <t>Monthly room rent</t>
  </si>
  <si>
    <t>YouTube earnings</t>
  </si>
  <si>
    <t>Instagram promotion income</t>
  </si>
  <si>
    <t>Metro and local travel</t>
  </si>
  <si>
    <t>Clothes and personal items</t>
  </si>
  <si>
    <t>Telegram freelance payment</t>
  </si>
  <si>
    <t>Freelance project payment</t>
  </si>
  <si>
    <t>Monthly salary</t>
  </si>
  <si>
    <t>Small business income</t>
  </si>
  <si>
    <t>Electricity bill</t>
  </si>
  <si>
    <t>Marketing campaign payment</t>
  </si>
  <si>
    <t>Water bill</t>
  </si>
  <si>
    <t>Website development payment</t>
  </si>
  <si>
    <t>TikTok creator income</t>
  </si>
  <si>
    <t>Credit card bill payment</t>
  </si>
  <si>
    <t>Mojo freelance payment</t>
  </si>
  <si>
    <t>Credit card purchase</t>
  </si>
  <si>
    <t>Mojo project income</t>
  </si>
  <si>
    <t>Debit card purchase</t>
  </si>
  <si>
    <t>Mobile recharge</t>
  </si>
  <si>
    <t>Short story writing payment</t>
  </si>
  <si>
    <t>Story content payment</t>
  </si>
  <si>
    <t>Freelance Excel work</t>
  </si>
  <si>
    <t>Wi-Fi recharge</t>
  </si>
  <si>
    <t>Shoes and accessories</t>
  </si>
  <si>
    <t>Fast food meal</t>
  </si>
  <si>
    <t>Monthly household groceries</t>
  </si>
  <si>
    <t>Doctor + medicines</t>
  </si>
  <si>
    <t>January rent</t>
  </si>
  <si>
    <t>Monthly creator income</t>
  </si>
  <si>
    <t>Brand promotion</t>
  </si>
  <si>
    <t>Daily commute</t>
  </si>
  <si>
    <t>Clothing purchase</t>
  </si>
  <si>
    <t>Freelance work</t>
  </si>
  <si>
    <t>Excel dashboard project</t>
  </si>
  <si>
    <t>Salary credited</t>
  </si>
  <si>
    <t>Business sales</t>
  </si>
  <si>
    <t>Monthly electricity bill</t>
  </si>
  <si>
    <t>Digital marketing work</t>
  </si>
  <si>
    <t>Monthly water bill</t>
  </si>
  <si>
    <t>Development project</t>
  </si>
  <si>
    <t>Creator payment</t>
  </si>
  <si>
    <t>Card payment</t>
  </si>
  <si>
    <t>Content work payment</t>
  </si>
  <si>
    <t>Online purchase</t>
  </si>
  <si>
    <t>Project payment</t>
  </si>
  <si>
    <t>Household items</t>
  </si>
  <si>
    <t>Monthly mobile recharge</t>
  </si>
  <si>
    <t>Writing income</t>
  </si>
  <si>
    <t>Content contribution</t>
  </si>
  <si>
    <t>Dashboard work</t>
  </si>
  <si>
    <t>Monthly internet recharge</t>
  </si>
  <si>
    <t>Personal shopping</t>
  </si>
  <si>
    <t>Lunch/snacks</t>
  </si>
  <si>
    <t>Local Market</t>
  </si>
  <si>
    <t>Local Clinic</t>
  </si>
  <si>
    <t>Shaheen Bagh</t>
  </si>
  <si>
    <t>Online</t>
  </si>
  <si>
    <t>Delhi Metro</t>
  </si>
  <si>
    <t>Sarojini Nagar</t>
  </si>
  <si>
    <t>Bank Account</t>
  </si>
  <si>
    <t>Home</t>
  </si>
  <si>
    <t>Local Store</t>
  </si>
  <si>
    <t>Local Restaurant</t>
  </si>
  <si>
    <t>UPI</t>
  </si>
  <si>
    <t>Bank Transfer</t>
  </si>
  <si>
    <t>Metro Card</t>
  </si>
  <si>
    <t>Credit Card</t>
  </si>
  <si>
    <t>Debit Card</t>
  </si>
  <si>
    <t>Uttar Pradesh</t>
  </si>
  <si>
    <t>Delhi</t>
  </si>
  <si>
    <t>Goa</t>
  </si>
  <si>
    <t>Maharastra</t>
  </si>
  <si>
    <t>Sikkim</t>
  </si>
  <si>
    <t>Assam</t>
  </si>
  <si>
    <t>Punjab</t>
  </si>
  <si>
    <t>Harayana</t>
  </si>
  <si>
    <t>Kerla</t>
  </si>
  <si>
    <t>MP</t>
  </si>
  <si>
    <t>Rjasthan</t>
  </si>
  <si>
    <t>Jharkhand</t>
  </si>
  <si>
    <t>Tamil Nadu</t>
  </si>
  <si>
    <t>Total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</si>
</sst>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409]d\-mmm\-yy;@"/>
    <numFmt numFmtId="166" formatCode="[$₹-439]#,##0"/>
    <numFmt numFmtId="168" formatCode="[$₹-439]#,##0.00"/>
  </numFmts>
  <fonts count="5" x14ac:knownFonts="1">
    <font>
      <sz val="11"/>
      <color theme="1"/>
      <name val="Aptos Narrow"/>
      <family val="2"/>
      <scheme val="minor"/>
    </font>
    <font>
      <b/>
      <sz val="20"/>
      <color theme="1"/>
      <name val="Arial Black"/>
      <family val="2"/>
    </font>
    <font>
      <b/>
      <sz val="14"/>
      <color theme="1"/>
      <name val="Arial Black"/>
      <family val="2"/>
    </font>
    <font>
      <b/>
      <sz val="11"/>
      <color theme="1"/>
      <name val="Arial Black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0" fillId="0" borderId="0" xfId="0" applyNumberFormat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8" fontId="2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68" fontId="2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68" fontId="2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[$-409]d\-mmm\-yy;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6BAC1F-06FC-479E-9141-83D7A0BBF7DA}" name="Table3" displayName="Table3" ref="A5:I33" totalsRowShown="0" headerRowDxfId="0">
  <autoFilter ref="A5:I33" xr:uid="{B86BAC1F-06FC-479E-9141-83D7A0BBF7DA}"/>
  <tableColumns count="9">
    <tableColumn id="1" xr3:uid="{94F6DB09-D6C4-47CF-B113-D545B9912A16}" name="Date" dataDxfId="3"/>
    <tableColumn id="2" xr3:uid="{3F9CAD6D-6679-43C0-BBFD-168DD4FA6AE9}" name="Type" dataDxfId="2"/>
    <tableColumn id="3" xr3:uid="{569AF5B3-E6A2-41E5-812A-2E08D5F0558C}" name="Category"/>
    <tableColumn id="4" xr3:uid="{F84E5234-F293-4C9C-A5AC-EEB28B6CAFC3}" name="Discription"/>
    <tableColumn id="5" xr3:uid="{140A37E4-D843-459F-A001-00578B79156A}" name="Amount" dataDxfId="1"/>
    <tableColumn id="6" xr3:uid="{95E517EC-3845-4451-828E-C2140F6F7143}" name="Remark"/>
    <tableColumn id="7" xr3:uid="{8C3E84F3-9F94-4104-9B19-5A6C6D74BFBE}" name="Location"/>
    <tableColumn id="8" xr3:uid="{7DA4F869-A185-499B-9520-C2A78481FED4}" name="State"/>
    <tableColumn id="9" xr3:uid="{FD472724-BBC6-4367-9D05-26CE69D05BEE}" name="PayType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C394B-E65C-4CEA-9F7F-E73BF59E19E6}" name="Income" displayName="Income" ref="B4:B24" totalsRowShown="0">
  <autoFilter ref="B4:B24" xr:uid="{607C394B-E65C-4CEA-9F7F-E73BF59E19E6}"/>
  <tableColumns count="1">
    <tableColumn id="1" xr3:uid="{C25CA3A3-5CF5-42E5-8B62-7E86ACDD0137}" name="Inco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C7FCEE-C9F8-4B87-AC29-455261C43AFC}" name="Expanse" displayName="Expanse" ref="C4:C24" totalsRowShown="0">
  <autoFilter ref="C4:C24" xr:uid="{A6C7FCEE-C9F8-4B87-AC29-455261C43AFC}"/>
  <tableColumns count="1">
    <tableColumn id="1" xr3:uid="{E0E78D4B-9658-4D69-A291-86EED5456964}" name="Expe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06DA-5095-41E0-A412-3024EE27A095}">
  <dimension ref="A1:N33"/>
  <sheetViews>
    <sheetView tabSelected="1" zoomScaleNormal="100" workbookViewId="0">
      <pane ySplit="5" topLeftCell="A6" activePane="bottomLeft" state="frozen"/>
      <selection pane="bottomLeft" activeCell="K6" sqref="K6"/>
    </sheetView>
  </sheetViews>
  <sheetFormatPr defaultRowHeight="15" x14ac:dyDescent="0.25"/>
  <cols>
    <col min="1" max="1" width="17.28515625" customWidth="1"/>
    <col min="2" max="2" width="19.7109375" customWidth="1"/>
    <col min="3" max="3" width="13.85546875" customWidth="1"/>
    <col min="4" max="4" width="27.85546875" customWidth="1"/>
    <col min="5" max="5" width="18.7109375" customWidth="1"/>
    <col min="6" max="6" width="18.5703125" customWidth="1"/>
    <col min="7" max="7" width="17.85546875" customWidth="1"/>
    <col min="8" max="8" width="20.140625" customWidth="1"/>
    <col min="9" max="9" width="13.140625" customWidth="1"/>
  </cols>
  <sheetData>
    <row r="1" spans="1:1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31.5" x14ac:dyDescent="0.25">
      <c r="A2" s="5" t="s">
        <v>14</v>
      </c>
      <c r="B2" s="3"/>
      <c r="C2" s="3"/>
      <c r="D2" s="3"/>
      <c r="E2" s="3"/>
      <c r="F2" s="3"/>
      <c r="G2" s="3"/>
      <c r="H2" s="3"/>
      <c r="I2" s="3"/>
    </row>
    <row r="3" spans="1:14" ht="23.25" customHeight="1" x14ac:dyDescent="0.25">
      <c r="A3" s="9" t="s">
        <v>0</v>
      </c>
      <c r="B3" s="11">
        <f>SUMIF(B6:B33,B9,E6:E33)</f>
        <v>76200</v>
      </c>
      <c r="C3" s="12"/>
      <c r="D3" s="13" t="s">
        <v>139</v>
      </c>
      <c r="E3" s="15">
        <f>SUMIF(B6:B33,B6,E6:E33)</f>
        <v>38848</v>
      </c>
      <c r="F3" s="16"/>
      <c r="G3" s="17" t="s">
        <v>10</v>
      </c>
      <c r="H3" s="19">
        <f>B3-E3</f>
        <v>37352</v>
      </c>
      <c r="I3" s="20"/>
    </row>
    <row r="4" spans="1:14" ht="22.5" customHeight="1" x14ac:dyDescent="0.25">
      <c r="A4" s="10"/>
      <c r="B4" s="11"/>
      <c r="C4" s="12"/>
      <c r="D4" s="14"/>
      <c r="E4" s="15"/>
      <c r="F4" s="16"/>
      <c r="G4" s="18"/>
      <c r="H4" s="19"/>
      <c r="I4" s="20"/>
    </row>
    <row r="5" spans="1:14" ht="27" customHeight="1" x14ac:dyDescent="0.2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</row>
    <row r="6" spans="1:14" x14ac:dyDescent="0.25">
      <c r="A6" s="7">
        <v>46027</v>
      </c>
      <c r="B6" s="1" t="s">
        <v>12</v>
      </c>
      <c r="C6" t="s">
        <v>35</v>
      </c>
      <c r="D6" t="s">
        <v>55</v>
      </c>
      <c r="E6" s="8">
        <v>10000</v>
      </c>
      <c r="F6" t="s">
        <v>83</v>
      </c>
      <c r="G6" t="s">
        <v>111</v>
      </c>
      <c r="H6" t="s">
        <v>126</v>
      </c>
      <c r="I6" t="s">
        <v>121</v>
      </c>
    </row>
    <row r="7" spans="1:14" x14ac:dyDescent="0.25">
      <c r="A7" s="7">
        <v>46028</v>
      </c>
      <c r="B7" s="1" t="s">
        <v>12</v>
      </c>
      <c r="C7" t="s">
        <v>38</v>
      </c>
      <c r="D7" t="s">
        <v>56</v>
      </c>
      <c r="E7" s="8">
        <v>850</v>
      </c>
      <c r="F7" t="s">
        <v>84</v>
      </c>
      <c r="G7" t="s">
        <v>112</v>
      </c>
      <c r="H7" t="s">
        <v>126</v>
      </c>
      <c r="I7" t="s">
        <v>121</v>
      </c>
    </row>
    <row r="8" spans="1:14" x14ac:dyDescent="0.25">
      <c r="A8" s="7">
        <v>46029</v>
      </c>
      <c r="B8" s="1" t="s">
        <v>12</v>
      </c>
      <c r="C8" t="s">
        <v>36</v>
      </c>
      <c r="D8" t="s">
        <v>57</v>
      </c>
      <c r="E8" s="8">
        <v>12000</v>
      </c>
      <c r="F8" t="s">
        <v>85</v>
      </c>
      <c r="G8" t="s">
        <v>113</v>
      </c>
      <c r="H8" t="s">
        <v>130</v>
      </c>
      <c r="I8" t="s">
        <v>122</v>
      </c>
    </row>
    <row r="9" spans="1:14" x14ac:dyDescent="0.25">
      <c r="A9" s="7">
        <v>46030</v>
      </c>
      <c r="B9" s="1" t="s">
        <v>11</v>
      </c>
      <c r="C9" t="s">
        <v>15</v>
      </c>
      <c r="D9" t="s">
        <v>58</v>
      </c>
      <c r="E9" s="8">
        <v>3500</v>
      </c>
      <c r="F9" t="s">
        <v>86</v>
      </c>
      <c r="G9" t="s">
        <v>114</v>
      </c>
      <c r="H9" t="s">
        <v>127</v>
      </c>
      <c r="I9" t="s">
        <v>122</v>
      </c>
    </row>
    <row r="10" spans="1:14" x14ac:dyDescent="0.25">
      <c r="A10" s="7">
        <v>46031</v>
      </c>
      <c r="B10" s="1" t="s">
        <v>11</v>
      </c>
      <c r="C10" t="s">
        <v>16</v>
      </c>
      <c r="D10" t="s">
        <v>59</v>
      </c>
      <c r="E10" s="8">
        <v>2500</v>
      </c>
      <c r="F10" t="s">
        <v>87</v>
      </c>
      <c r="G10" t="s">
        <v>114</v>
      </c>
      <c r="H10" t="s">
        <v>128</v>
      </c>
      <c r="I10" t="s">
        <v>121</v>
      </c>
    </row>
    <row r="11" spans="1:14" x14ac:dyDescent="0.25">
      <c r="A11" s="7">
        <v>46032</v>
      </c>
      <c r="B11" s="1" t="s">
        <v>12</v>
      </c>
      <c r="C11" t="s">
        <v>37</v>
      </c>
      <c r="D11" t="s">
        <v>60</v>
      </c>
      <c r="E11" s="8">
        <v>750</v>
      </c>
      <c r="F11" t="s">
        <v>88</v>
      </c>
      <c r="G11" t="s">
        <v>115</v>
      </c>
      <c r="H11" t="s">
        <v>127</v>
      </c>
      <c r="I11" t="s">
        <v>123</v>
      </c>
    </row>
    <row r="12" spans="1:14" x14ac:dyDescent="0.25">
      <c r="A12" s="7">
        <v>46033</v>
      </c>
      <c r="B12" s="1" t="s">
        <v>12</v>
      </c>
      <c r="C12" t="s">
        <v>39</v>
      </c>
      <c r="D12" t="s">
        <v>61</v>
      </c>
      <c r="E12" s="8">
        <v>2200</v>
      </c>
      <c r="F12" t="s">
        <v>89</v>
      </c>
      <c r="G12" t="s">
        <v>116</v>
      </c>
      <c r="H12" t="s">
        <v>127</v>
      </c>
      <c r="I12" t="s">
        <v>121</v>
      </c>
    </row>
    <row r="13" spans="1:14" x14ac:dyDescent="0.25">
      <c r="A13" s="7">
        <v>46034</v>
      </c>
      <c r="B13" s="1" t="s">
        <v>11</v>
      </c>
      <c r="C13" t="s">
        <v>17</v>
      </c>
      <c r="D13" t="s">
        <v>62</v>
      </c>
      <c r="E13" s="8">
        <v>3000</v>
      </c>
      <c r="F13" t="s">
        <v>90</v>
      </c>
      <c r="G13" t="s">
        <v>114</v>
      </c>
      <c r="H13" t="s">
        <v>129</v>
      </c>
      <c r="I13" t="s">
        <v>121</v>
      </c>
    </row>
    <row r="14" spans="1:14" x14ac:dyDescent="0.25">
      <c r="A14" s="7">
        <v>46035</v>
      </c>
      <c r="B14" s="1" t="s">
        <v>11</v>
      </c>
      <c r="C14" t="s">
        <v>18</v>
      </c>
      <c r="D14" t="s">
        <v>63</v>
      </c>
      <c r="E14" s="8">
        <v>8000</v>
      </c>
      <c r="F14" t="s">
        <v>91</v>
      </c>
      <c r="G14" t="s">
        <v>114</v>
      </c>
      <c r="H14" t="s">
        <v>131</v>
      </c>
      <c r="I14" t="s">
        <v>122</v>
      </c>
    </row>
    <row r="15" spans="1:14" x14ac:dyDescent="0.25">
      <c r="A15" s="7">
        <v>46036</v>
      </c>
      <c r="B15" s="1" t="s">
        <v>11</v>
      </c>
      <c r="C15" t="s">
        <v>19</v>
      </c>
      <c r="D15" t="s">
        <v>64</v>
      </c>
      <c r="E15" s="8">
        <v>25000</v>
      </c>
      <c r="F15" t="s">
        <v>92</v>
      </c>
      <c r="G15" t="s">
        <v>117</v>
      </c>
      <c r="H15" t="s">
        <v>126</v>
      </c>
      <c r="I15" t="s">
        <v>122</v>
      </c>
    </row>
    <row r="16" spans="1:14" x14ac:dyDescent="0.25">
      <c r="A16" s="7">
        <v>46037</v>
      </c>
      <c r="B16" s="1" t="s">
        <v>11</v>
      </c>
      <c r="C16" t="s">
        <v>20</v>
      </c>
      <c r="D16" t="s">
        <v>65</v>
      </c>
      <c r="E16" s="8">
        <v>5000</v>
      </c>
      <c r="F16" t="s">
        <v>93</v>
      </c>
      <c r="G16" t="s">
        <v>114</v>
      </c>
      <c r="H16" t="s">
        <v>132</v>
      </c>
      <c r="I16" t="s">
        <v>121</v>
      </c>
    </row>
    <row r="17" spans="1:9" x14ac:dyDescent="0.25">
      <c r="A17" s="7">
        <v>46038</v>
      </c>
      <c r="B17" s="1" t="s">
        <v>12</v>
      </c>
      <c r="C17" t="s">
        <v>40</v>
      </c>
      <c r="D17" s="6" t="s">
        <v>66</v>
      </c>
      <c r="E17" s="1">
        <v>1800</v>
      </c>
      <c r="F17" t="s">
        <v>94</v>
      </c>
      <c r="G17" t="s">
        <v>118</v>
      </c>
      <c r="H17" t="s">
        <v>126</v>
      </c>
      <c r="I17" t="s">
        <v>121</v>
      </c>
    </row>
    <row r="18" spans="1:9" x14ac:dyDescent="0.25">
      <c r="A18" s="7">
        <v>46039</v>
      </c>
      <c r="B18" s="1" t="s">
        <v>11</v>
      </c>
      <c r="C18" t="s">
        <v>21</v>
      </c>
      <c r="D18" s="6" t="s">
        <v>67</v>
      </c>
      <c r="E18" s="1">
        <v>4500</v>
      </c>
      <c r="F18" t="s">
        <v>95</v>
      </c>
      <c r="G18" t="s">
        <v>114</v>
      </c>
      <c r="H18" t="s">
        <v>133</v>
      </c>
      <c r="I18" t="s">
        <v>122</v>
      </c>
    </row>
    <row r="19" spans="1:9" x14ac:dyDescent="0.25">
      <c r="A19" s="7">
        <v>46040</v>
      </c>
      <c r="B19" s="1" t="s">
        <v>12</v>
      </c>
      <c r="C19" t="s">
        <v>41</v>
      </c>
      <c r="D19" t="s">
        <v>68</v>
      </c>
      <c r="E19" s="8">
        <v>450</v>
      </c>
      <c r="F19" t="s">
        <v>96</v>
      </c>
      <c r="G19" t="s">
        <v>118</v>
      </c>
      <c r="H19" t="s">
        <v>126</v>
      </c>
      <c r="I19" t="s">
        <v>121</v>
      </c>
    </row>
    <row r="20" spans="1:9" x14ac:dyDescent="0.25">
      <c r="A20" s="7">
        <v>46041</v>
      </c>
      <c r="B20" s="1" t="s">
        <v>11</v>
      </c>
      <c r="C20" t="s">
        <v>22</v>
      </c>
      <c r="D20" t="s">
        <v>69</v>
      </c>
      <c r="E20" s="8">
        <v>7000</v>
      </c>
      <c r="F20" t="s">
        <v>97</v>
      </c>
      <c r="G20" t="s">
        <v>114</v>
      </c>
      <c r="H20" t="s">
        <v>134</v>
      </c>
      <c r="I20" t="s">
        <v>122</v>
      </c>
    </row>
    <row r="21" spans="1:9" x14ac:dyDescent="0.25">
      <c r="A21" s="7">
        <v>46042</v>
      </c>
      <c r="B21" s="1" t="s">
        <v>11</v>
      </c>
      <c r="C21" t="s">
        <v>23</v>
      </c>
      <c r="D21" t="s">
        <v>70</v>
      </c>
      <c r="E21" s="8">
        <v>2000</v>
      </c>
      <c r="F21" t="s">
        <v>98</v>
      </c>
      <c r="G21" t="s">
        <v>114</v>
      </c>
      <c r="H21" t="s">
        <v>135</v>
      </c>
      <c r="I21" t="s">
        <v>121</v>
      </c>
    </row>
    <row r="22" spans="1:9" x14ac:dyDescent="0.25">
      <c r="A22" s="7">
        <v>46043</v>
      </c>
      <c r="B22" s="1" t="s">
        <v>12</v>
      </c>
      <c r="C22" t="s">
        <v>43</v>
      </c>
      <c r="D22" t="s">
        <v>71</v>
      </c>
      <c r="E22" s="8">
        <v>3500</v>
      </c>
      <c r="F22" t="s">
        <v>99</v>
      </c>
      <c r="G22" t="s">
        <v>114</v>
      </c>
      <c r="H22" t="s">
        <v>136</v>
      </c>
      <c r="I22" t="s">
        <v>124</v>
      </c>
    </row>
    <row r="23" spans="1:9" x14ac:dyDescent="0.25">
      <c r="A23" s="7">
        <v>46044</v>
      </c>
      <c r="B23" s="1" t="s">
        <v>11</v>
      </c>
      <c r="C23" t="s">
        <v>24</v>
      </c>
      <c r="D23" t="s">
        <v>72</v>
      </c>
      <c r="E23" s="8">
        <v>2500</v>
      </c>
      <c r="F23" t="s">
        <v>100</v>
      </c>
      <c r="G23" t="s">
        <v>114</v>
      </c>
      <c r="H23" t="s">
        <v>127</v>
      </c>
      <c r="I23" t="s">
        <v>121</v>
      </c>
    </row>
    <row r="24" spans="1:9" x14ac:dyDescent="0.25">
      <c r="A24" s="7">
        <v>46045</v>
      </c>
      <c r="B24" s="1" t="s">
        <v>12</v>
      </c>
      <c r="C24" t="s">
        <v>43</v>
      </c>
      <c r="D24" t="s">
        <v>73</v>
      </c>
      <c r="E24" s="8">
        <v>1800</v>
      </c>
      <c r="F24" t="s">
        <v>101</v>
      </c>
      <c r="G24" t="s">
        <v>29</v>
      </c>
      <c r="H24" t="s">
        <v>127</v>
      </c>
      <c r="I24" t="s">
        <v>124</v>
      </c>
    </row>
    <row r="25" spans="1:9" x14ac:dyDescent="0.25">
      <c r="A25" s="7">
        <v>46046</v>
      </c>
      <c r="B25" s="1" t="s">
        <v>11</v>
      </c>
      <c r="C25" t="s">
        <v>24</v>
      </c>
      <c r="D25" t="s">
        <v>74</v>
      </c>
      <c r="E25" s="8">
        <v>3000</v>
      </c>
      <c r="F25" t="s">
        <v>102</v>
      </c>
      <c r="G25" t="s">
        <v>114</v>
      </c>
      <c r="H25" t="s">
        <v>137</v>
      </c>
      <c r="I25" t="s">
        <v>121</v>
      </c>
    </row>
    <row r="26" spans="1:9" x14ac:dyDescent="0.25">
      <c r="A26" s="7">
        <v>46047</v>
      </c>
      <c r="B26" s="1" t="s">
        <v>12</v>
      </c>
      <c r="C26" t="s">
        <v>44</v>
      </c>
      <c r="D26" t="s">
        <v>75</v>
      </c>
      <c r="E26" s="8">
        <v>1250</v>
      </c>
      <c r="F26" t="s">
        <v>103</v>
      </c>
      <c r="G26" t="s">
        <v>119</v>
      </c>
      <c r="H26" t="s">
        <v>127</v>
      </c>
      <c r="I26" t="s">
        <v>125</v>
      </c>
    </row>
    <row r="27" spans="1:9" x14ac:dyDescent="0.25">
      <c r="A27" s="7">
        <v>46048</v>
      </c>
      <c r="B27" s="1" t="s">
        <v>12</v>
      </c>
      <c r="C27" t="s">
        <v>45</v>
      </c>
      <c r="D27" t="s">
        <v>76</v>
      </c>
      <c r="E27" s="8">
        <v>399</v>
      </c>
      <c r="F27" t="s">
        <v>104</v>
      </c>
      <c r="G27" t="s">
        <v>114</v>
      </c>
      <c r="H27" t="s">
        <v>138</v>
      </c>
      <c r="I27" t="s">
        <v>121</v>
      </c>
    </row>
    <row r="28" spans="1:9" x14ac:dyDescent="0.25">
      <c r="A28" s="7">
        <v>46049</v>
      </c>
      <c r="B28" s="1" t="s">
        <v>11</v>
      </c>
      <c r="C28" t="s">
        <v>26</v>
      </c>
      <c r="D28" t="s">
        <v>77</v>
      </c>
      <c r="E28" s="8">
        <v>1500</v>
      </c>
      <c r="F28" t="s">
        <v>105</v>
      </c>
      <c r="G28" t="s">
        <v>114</v>
      </c>
      <c r="H28" t="s">
        <v>127</v>
      </c>
      <c r="I28" t="s">
        <v>122</v>
      </c>
    </row>
    <row r="29" spans="1:9" x14ac:dyDescent="0.25">
      <c r="A29" s="7">
        <v>46050</v>
      </c>
      <c r="B29" s="1" t="s">
        <v>11</v>
      </c>
      <c r="C29" t="s">
        <v>25</v>
      </c>
      <c r="D29" t="s">
        <v>78</v>
      </c>
      <c r="E29" s="8">
        <v>2200</v>
      </c>
      <c r="F29" t="s">
        <v>106</v>
      </c>
      <c r="G29" t="s">
        <v>114</v>
      </c>
      <c r="H29" t="s">
        <v>127</v>
      </c>
      <c r="I29" t="s">
        <v>121</v>
      </c>
    </row>
    <row r="30" spans="1:9" x14ac:dyDescent="0.25">
      <c r="A30" s="7">
        <v>46051</v>
      </c>
      <c r="B30" s="1" t="s">
        <v>11</v>
      </c>
      <c r="C30" t="s">
        <v>18</v>
      </c>
      <c r="D30" t="s">
        <v>79</v>
      </c>
      <c r="E30" s="1">
        <v>6500</v>
      </c>
      <c r="F30" t="s">
        <v>107</v>
      </c>
      <c r="G30" t="s">
        <v>114</v>
      </c>
      <c r="H30" t="s">
        <v>127</v>
      </c>
      <c r="I30" t="s">
        <v>122</v>
      </c>
    </row>
    <row r="31" spans="1:9" x14ac:dyDescent="0.25">
      <c r="A31" s="7">
        <v>46052</v>
      </c>
      <c r="B31" s="1" t="s">
        <v>12</v>
      </c>
      <c r="C31" t="s">
        <v>46</v>
      </c>
      <c r="D31" t="s">
        <v>80</v>
      </c>
      <c r="E31" s="1">
        <v>699</v>
      </c>
      <c r="F31" t="s">
        <v>108</v>
      </c>
      <c r="G31" t="s">
        <v>118</v>
      </c>
      <c r="H31" t="s">
        <v>132</v>
      </c>
      <c r="I31" t="s">
        <v>121</v>
      </c>
    </row>
    <row r="32" spans="1:9" x14ac:dyDescent="0.25">
      <c r="A32" s="7">
        <v>46053</v>
      </c>
      <c r="B32" s="1" t="s">
        <v>12</v>
      </c>
      <c r="C32" t="s">
        <v>39</v>
      </c>
      <c r="D32" t="s">
        <v>81</v>
      </c>
      <c r="E32" s="1">
        <v>2800</v>
      </c>
      <c r="F32" t="s">
        <v>109</v>
      </c>
      <c r="G32" t="s">
        <v>111</v>
      </c>
      <c r="H32" t="s">
        <v>127</v>
      </c>
      <c r="I32" t="s">
        <v>121</v>
      </c>
    </row>
    <row r="33" spans="1:9" x14ac:dyDescent="0.25">
      <c r="A33" s="7">
        <v>46054</v>
      </c>
      <c r="B33" s="1" t="s">
        <v>12</v>
      </c>
      <c r="C33" t="s">
        <v>42</v>
      </c>
      <c r="D33" t="s">
        <v>82</v>
      </c>
      <c r="E33" s="1">
        <v>350</v>
      </c>
      <c r="F33" t="s">
        <v>110</v>
      </c>
      <c r="G33" t="s">
        <v>120</v>
      </c>
      <c r="H33" t="s">
        <v>127</v>
      </c>
      <c r="I33" t="s">
        <v>121</v>
      </c>
    </row>
  </sheetData>
  <mergeCells count="10">
    <mergeCell ref="F3:F4"/>
    <mergeCell ref="G3:G4"/>
    <mergeCell ref="H3:H4"/>
    <mergeCell ref="I3:I4"/>
    <mergeCell ref="A3:A4"/>
    <mergeCell ref="A2:I2"/>
    <mergeCell ref="B3:B4"/>
    <mergeCell ref="C3:C4"/>
    <mergeCell ref="D3:D4"/>
    <mergeCell ref="E3:E4"/>
  </mergeCells>
  <phoneticPr fontId="4" type="noConversion"/>
  <dataValidations count="3">
    <dataValidation type="list" allowBlank="1" showInputMessage="1" showErrorMessage="1" sqref="B6:B33" xr:uid="{CF00FCF6-689D-4B86-AE6A-AB662B5E2315}">
      <formula1>"Income,Expanse"</formula1>
    </dataValidation>
    <dataValidation type="list" allowBlank="1" showInputMessage="1" showErrorMessage="1" sqref="C6:C28 C30:C33" xr:uid="{E166D3A5-73D3-4C9F-8617-8B8E6E08A557}">
      <formula1>INDIRECT(B6)</formula1>
    </dataValidation>
    <dataValidation type="list" allowBlank="1" showInputMessage="1" showErrorMessage="1" sqref="C29" xr:uid="{3C98D610-32FD-4409-9F23-D95B38AAD513}">
      <formula1>INDIRECT(B28)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F7F0-730E-4F47-8F9B-66810BCE6285}">
  <dimension ref="B4:C24"/>
  <sheetViews>
    <sheetView workbookViewId="0">
      <selection activeCell="E24" sqref="E24"/>
    </sheetView>
  </sheetViews>
  <sheetFormatPr defaultRowHeight="15" x14ac:dyDescent="0.25"/>
  <cols>
    <col min="2" max="2" width="12.5703125" customWidth="1"/>
    <col min="3" max="3" width="17.140625" customWidth="1"/>
  </cols>
  <sheetData>
    <row r="4" spans="2:3" x14ac:dyDescent="0.25">
      <c r="B4" t="s">
        <v>11</v>
      </c>
      <c r="C4" t="s">
        <v>13</v>
      </c>
    </row>
    <row r="5" spans="2:3" x14ac:dyDescent="0.25">
      <c r="B5" t="s">
        <v>15</v>
      </c>
      <c r="C5" t="s">
        <v>35</v>
      </c>
    </row>
    <row r="6" spans="2:3" x14ac:dyDescent="0.25">
      <c r="B6" t="s">
        <v>16</v>
      </c>
      <c r="C6" t="s">
        <v>36</v>
      </c>
    </row>
    <row r="7" spans="2:3" x14ac:dyDescent="0.25">
      <c r="B7" t="s">
        <v>17</v>
      </c>
      <c r="C7" t="s">
        <v>37</v>
      </c>
    </row>
    <row r="8" spans="2:3" x14ac:dyDescent="0.25">
      <c r="B8" t="s">
        <v>18</v>
      </c>
      <c r="C8" t="s">
        <v>38</v>
      </c>
    </row>
    <row r="9" spans="2:3" x14ac:dyDescent="0.25">
      <c r="B9" t="s">
        <v>19</v>
      </c>
      <c r="C9" t="s">
        <v>39</v>
      </c>
    </row>
    <row r="10" spans="2:3" x14ac:dyDescent="0.25">
      <c r="B10" t="s">
        <v>20</v>
      </c>
      <c r="C10" t="s">
        <v>40</v>
      </c>
    </row>
    <row r="11" spans="2:3" x14ac:dyDescent="0.25">
      <c r="B11" t="s">
        <v>21</v>
      </c>
      <c r="C11" t="s">
        <v>41</v>
      </c>
    </row>
    <row r="12" spans="2:3" x14ac:dyDescent="0.25">
      <c r="B12" t="s">
        <v>22</v>
      </c>
      <c r="C12" t="s">
        <v>42</v>
      </c>
    </row>
    <row r="13" spans="2:3" x14ac:dyDescent="0.25">
      <c r="B13" t="s">
        <v>23</v>
      </c>
      <c r="C13" t="s">
        <v>43</v>
      </c>
    </row>
    <row r="14" spans="2:3" x14ac:dyDescent="0.25">
      <c r="B14" t="s">
        <v>24</v>
      </c>
      <c r="C14" t="s">
        <v>44</v>
      </c>
    </row>
    <row r="15" spans="2:3" x14ac:dyDescent="0.25">
      <c r="B15" t="s">
        <v>25</v>
      </c>
      <c r="C15" t="s">
        <v>45</v>
      </c>
    </row>
    <row r="16" spans="2:3" x14ac:dyDescent="0.25">
      <c r="B16" t="s">
        <v>26</v>
      </c>
      <c r="C16" t="s">
        <v>46</v>
      </c>
    </row>
    <row r="17" spans="2:3" x14ac:dyDescent="0.25">
      <c r="B17" t="s">
        <v>27</v>
      </c>
      <c r="C17" t="s">
        <v>47</v>
      </c>
    </row>
    <row r="18" spans="2:3" x14ac:dyDescent="0.25">
      <c r="B18" t="s">
        <v>28</v>
      </c>
      <c r="C18" t="s">
        <v>48</v>
      </c>
    </row>
    <row r="19" spans="2:3" x14ac:dyDescent="0.25">
      <c r="B19" t="s">
        <v>29</v>
      </c>
      <c r="C19" t="s">
        <v>49</v>
      </c>
    </row>
    <row r="20" spans="2:3" x14ac:dyDescent="0.25">
      <c r="B20" t="s">
        <v>30</v>
      </c>
      <c r="C20" t="s">
        <v>50</v>
      </c>
    </row>
    <row r="21" spans="2:3" x14ac:dyDescent="0.25">
      <c r="B21" t="s">
        <v>31</v>
      </c>
      <c r="C21" t="s">
        <v>51</v>
      </c>
    </row>
    <row r="22" spans="2:3" x14ac:dyDescent="0.25">
      <c r="B22" t="s">
        <v>32</v>
      </c>
      <c r="C22" t="s">
        <v>52</v>
      </c>
    </row>
    <row r="23" spans="2:3" x14ac:dyDescent="0.25">
      <c r="B23" t="s">
        <v>33</v>
      </c>
      <c r="C23" t="s">
        <v>53</v>
      </c>
    </row>
    <row r="24" spans="2:3" x14ac:dyDescent="0.25">
      <c r="B24" t="s">
        <v>34</v>
      </c>
      <c r="C24" t="s">
        <v>54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 Sheet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 khan</dc:creator>
  <cp:lastModifiedBy>Ak khan</cp:lastModifiedBy>
  <dcterms:created xsi:type="dcterms:W3CDTF">2026-09-29T11:26:57Z</dcterms:created>
  <dcterms:modified xsi:type="dcterms:W3CDTF">2026-09-30T17:13:23Z</dcterms:modified>
</cp:coreProperties>
</file>